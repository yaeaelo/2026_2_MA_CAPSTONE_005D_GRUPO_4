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abian\Documents\2026-02\PTY4614 - CAPSTONE\2.1 EXPERIENCIA DE APRENDIZAJE 1\Grupo 004\"/>
    </mc:Choice>
  </mc:AlternateContent>
  <xr:revisionPtr revIDLastSave="0" documentId="13_ncr:1_{4D38321B-792C-4464-87EF-9D5662C949B0}" xr6:coauthVersionLast="47" xr6:coauthVersionMax="47" xr10:uidLastSave="{00000000-0000-0000-0000-000000000000}"/>
  <bookViews>
    <workbookView xWindow="-120" yWindow="-120" windowWidth="2064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E18" i="1"/>
  <c r="E22" i="1"/>
  <c r="F20" i="1"/>
  <c r="G20" i="1" s="1"/>
  <c r="F21" i="1"/>
  <c r="G21" i="1" s="1"/>
  <c r="C57" i="1" l="1"/>
  <c r="C46" i="1"/>
  <c r="D5" i="1" s="1"/>
  <c r="D21" i="1"/>
  <c r="E21" i="1" s="1"/>
  <c r="H21" i="1"/>
  <c r="I21" i="1" s="1"/>
  <c r="J21" i="1"/>
  <c r="K21" i="1" s="1"/>
  <c r="G22" i="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6" i="1" s="1"/>
  <c r="E6" i="1" s="1"/>
  <c r="C35" i="1" l="1"/>
  <c r="D4" i="1" s="1"/>
  <c r="C5" i="1"/>
  <c r="E5" i="1" s="1"/>
  <c r="C4" i="1"/>
  <c r="E4" i="1" l="1"/>
</calcChain>
</file>

<file path=xl/sharedStrings.xml><?xml version="1.0" encoding="utf-8"?>
<sst xmlns="http://schemas.openxmlformats.org/spreadsheetml/2006/main" count="161" uniqueCount="99">
  <si>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</si>
  <si>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</si>
  <si>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</si>
  <si>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</si>
  <si>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</si>
  <si>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</si>
  <si>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</si>
  <si>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</si>
  <si>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</si>
  <si>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</si>
  <si>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</si>
  <si>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</si>
  <si>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</si>
  <si>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</si>
  <si>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</si>
  <si>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</si>
  <si>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</si>
  <si>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</si>
  <si>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</si>
  <si>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</si>
  <si>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</si>
  <si>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</si>
  <si>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</si>
  <si>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</si>
  <si>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</si>
  <si>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</si>
  <si>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</si>
  <si>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</si>
  <si>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</si>
  <si>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</si>
  <si>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</si>
  <si>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</si>
  <si>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</si>
  <si>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</si>
  <si>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</si>
  <si>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</si>
  <si>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</si>
  <si>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</si>
  <si>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</si>
  <si>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</si>
  <si>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</si>
  <si>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</si>
  <si>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</si>
  <si>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</si>
  <si>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</si>
  <si>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</si>
  <si>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</si>
  <si>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</si>
  <si>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</si>
  <si>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</si>
  <si>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</si>
  <si>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</si>
  <si>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</si>
  <si>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</si>
  <si>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</si>
  <si>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</si>
  <si>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</si>
  <si>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</si>
  <si>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</si>
  <si>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</si>
  <si>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</si>
  <si>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</si>
  <si>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</si>
  <si>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</si>
  <si>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</si>
  <si>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</si>
  <si>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</si>
  <si>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</si>
  <si>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</si>
  <si>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</si>
  <si>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</si>
  <si>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</si>
  <si>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</si>
  <si>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</si>
  <si>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</si>
  <si>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</si>
  <si>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</si>
  <si>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</si>
  <si>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</si>
  <si>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</si>
  <si>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</si>
  <si>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</si>
  <si>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</si>
  <si>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</si>
  <si>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</si>
  <si>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</si>
  <si>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</si>
  <si>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</si>
  <si>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</si>
  <si>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</si>
  <si>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</si>
  <si>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</si>
  <si>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</si>
  <si>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</si>
  <si>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</si>
  <si>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ISMAEL ANTONIO ARAYA CELEDON</t>
  </si>
  <si>
    <t>VICENTE ALEJANDRO MONROY GUTIERREZ</t>
  </si>
  <si>
    <t>FELIPE MOISES URTUBIA LEON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</si>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</sst>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19" sqref="D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5.5</v>
      </c>
      <c r="D4" s="6">
        <f>$C$35</f>
        <v>7</v>
      </c>
      <c r="E4" s="43">
        <f>C4*C$2+D4*D$2</f>
        <v>5.875</v>
      </c>
      <c r="G4" s="1"/>
    </row>
    <row r="5" spans="1:11" x14ac:dyDescent="0.25">
      <c r="A5" s="5">
        <v>2</v>
      </c>
      <c r="B5" s="32" t="s">
        <v>96</v>
      </c>
      <c r="C5" s="6">
        <f>EVALUACION1!$C$24</f>
        <v>5.5</v>
      </c>
      <c r="D5" s="6">
        <f>C47</f>
        <v>7</v>
      </c>
      <c r="E5" s="43">
        <f t="shared" ref="E5" si="0">C5*C$2+D5*D$2</f>
        <v>5.875</v>
      </c>
      <c r="G5" s="1"/>
    </row>
    <row r="6" spans="1:11" x14ac:dyDescent="0.25">
      <c r="A6" s="5">
        <v>3</v>
      </c>
      <c r="B6" s="32" t="s">
        <v>97</v>
      </c>
      <c r="C6" s="6">
        <f>EVALUACION1!$C$24</f>
        <v>5.5</v>
      </c>
      <c r="D6" s="6">
        <v>7</v>
      </c>
      <c r="E6" s="43">
        <f t="shared" ref="E6" si="1">C6*C$2+D6*D$2</f>
        <v>5.875</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3">IF(D17="X",100*0.1,"")</f>
        <v/>
      </c>
      <c r="F17" s="16" t="s">
        <v>98</v>
      </c>
      <c r="G17" s="16">
        <f t="shared" ref="G17" si="14">IF(F17="X",60*0.1,"")</f>
        <v>6</v>
      </c>
      <c r="H17" s="16" t="str">
        <f t="shared" ref="H17:H22" si="15">IF($C17=ML,"X","")</f>
        <v/>
      </c>
      <c r="I17" s="16" t="str">
        <f t="shared" ref="I17" si="16">IF(H17="X",30*0.1,"")</f>
        <v/>
      </c>
      <c r="J17" s="16" t="str">
        <f t="shared" ref="J17:J22" si="17">IF($C17=NL,"X","")</f>
        <v/>
      </c>
      <c r="K17" s="16" t="str">
        <f t="shared" ref="K17:K22" si="18">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9">IF(D18="X",100*0.1,"")</f>
        <v/>
      </c>
      <c r="F18" s="16" t="s">
        <v>98</v>
      </c>
      <c r="G18" s="16">
        <f t="shared" ref="G18" si="20">IF(F18="X",60*0.1,"")</f>
        <v>6</v>
      </c>
      <c r="H18" s="16" t="str">
        <f t="shared" si="15"/>
        <v/>
      </c>
      <c r="I18" s="16" t="str">
        <f t="shared" ref="I18" si="21">IF(H18="X",30*0.1,"")</f>
        <v/>
      </c>
      <c r="J18" s="16" t="str">
        <f t="shared" si="17"/>
        <v/>
      </c>
      <c r="K18" s="16" t="str">
        <f t="shared" si="18"/>
        <v/>
      </c>
    </row>
    <row r="19" spans="1:11" ht="24" outlineLevel="1" x14ac:dyDescent="0.25">
      <c r="A19" s="65"/>
      <c r="B19" s="35" t="str">
        <f>RUBRICA!A12</f>
        <v>8. Determina evidencias, justificando cómo estas dan cuenta del logro de las actividades del Proyecto APT.</v>
      </c>
      <c r="C19" s="33" t="s">
        <v>7</v>
      </c>
      <c r="D19" s="16"/>
      <c r="E19" s="16" t="str">
        <f>IF(D19="X",100*0.05,"")</f>
        <v/>
      </c>
      <c r="F19" s="16" t="s">
        <v>98</v>
      </c>
      <c r="G19" s="16">
        <f t="shared" ref="G19" si="22">IF(F19="X",60*0.05,"")</f>
        <v>3</v>
      </c>
      <c r="H19" s="16" t="str">
        <f t="shared" si="15"/>
        <v/>
      </c>
      <c r="I19" s="16" t="str">
        <f t="shared" ref="I19" si="23">IF(H19="X",30*0.05,"")</f>
        <v/>
      </c>
      <c r="J19" s="16" t="str">
        <f t="shared" si="17"/>
        <v/>
      </c>
      <c r="K19" s="16" t="str">
        <f t="shared" si="18"/>
        <v/>
      </c>
    </row>
    <row r="20" spans="1:11" ht="24" outlineLevel="1" x14ac:dyDescent="0.25">
      <c r="A20" s="65"/>
      <c r="B20" s="35" t="str">
        <f>RUBRICA!A13</f>
        <v xml:space="preserve">9. Utiliza reglas de redacción, ortografía (literal, puntual, acentual) y las normas para citas y referencias. </v>
      </c>
      <c r="C20" s="33" t="s">
        <v>7</v>
      </c>
      <c r="D20" s="16" t="str">
        <f t="shared" ref="D17:D22" si="24">IF($C20=CL,"X","")</f>
        <v>X</v>
      </c>
      <c r="E20" s="16">
        <f>IF(D20="X",100*0.05,"")</f>
        <v>5</v>
      </c>
      <c r="F20" s="16" t="str">
        <f t="shared" ref="F17:F22" si="25">IF($C20=L,"X","")</f>
        <v/>
      </c>
      <c r="G20" s="16" t="str">
        <f t="shared" si="11"/>
        <v/>
      </c>
      <c r="H20" s="16" t="str">
        <f t="shared" si="15"/>
        <v/>
      </c>
      <c r="I20" s="16" t="str">
        <f t="shared" si="12"/>
        <v/>
      </c>
      <c r="J20" s="16" t="str">
        <f t="shared" si="17"/>
        <v/>
      </c>
      <c r="K20" s="16" t="str">
        <f t="shared" si="18"/>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24"/>
        <v>X</v>
      </c>
      <c r="E21" s="16">
        <f t="shared" si="10"/>
        <v>5</v>
      </c>
      <c r="F21" s="16" t="str">
        <f t="shared" si="25"/>
        <v/>
      </c>
      <c r="G21" s="16" t="str">
        <f t="shared" si="11"/>
        <v/>
      </c>
      <c r="H21" s="16" t="str">
        <f t="shared" si="15"/>
        <v/>
      </c>
      <c r="I21" s="16" t="str">
        <f t="shared" si="12"/>
        <v/>
      </c>
      <c r="J21" s="16" t="str">
        <f t="shared" si="17"/>
        <v/>
      </c>
      <c r="K21" s="16" t="str">
        <f t="shared" si="18"/>
        <v/>
      </c>
    </row>
    <row r="22" spans="1:11" ht="36" outlineLevel="1" x14ac:dyDescent="0.25">
      <c r="A22" s="65"/>
      <c r="B22" s="35" t="str">
        <f>RUBRICA!A16</f>
        <v>12. Desarrolla un plan de trabajo que permita del logro de los objetivos propuestos del proyecto de 
acuerdo a los tiempos para su desarrollo</v>
      </c>
      <c r="C22" s="33" t="s">
        <v>7</v>
      </c>
      <c r="D22" s="16"/>
      <c r="E22" s="16" t="str">
        <f>IF(D22="X",100*0.1,"")</f>
        <v/>
      </c>
      <c r="F22" s="16" t="s">
        <v>98</v>
      </c>
      <c r="G22" s="16">
        <f>IF(F22="X",60*0.1,"")</f>
        <v>6</v>
      </c>
      <c r="H22" s="16" t="str">
        <f t="shared" si="15"/>
        <v/>
      </c>
      <c r="I22" s="16" t="str">
        <f>IF(H22="X",30*0.1,"")</f>
        <v/>
      </c>
      <c r="J22" s="16" t="str">
        <f t="shared" si="17"/>
        <v/>
      </c>
      <c r="K22" s="16" t="str">
        <f t="shared" si="18"/>
        <v/>
      </c>
    </row>
    <row r="23" spans="1:11" ht="15.75" customHeight="1" outlineLevel="1" x14ac:dyDescent="0.3">
      <c r="A23" s="61"/>
      <c r="B23" s="34" t="s">
        <v>11</v>
      </c>
      <c r="C23" s="37">
        <f>E23+G23+I23+K23</f>
        <v>56</v>
      </c>
      <c r="D23" s="19"/>
      <c r="E23" s="19">
        <f>SUM(E13:E22)</f>
        <v>35</v>
      </c>
      <c r="F23" s="19"/>
      <c r="G23" s="19">
        <f>SUM(G13:G22)</f>
        <v>21</v>
      </c>
      <c r="H23" s="19"/>
      <c r="I23" s="19">
        <f>SUM(I13:I22)</f>
        <v>0</v>
      </c>
      <c r="J23" s="19"/>
      <c r="K23" s="19">
        <f>SUM(K13:K22)</f>
        <v>0</v>
      </c>
    </row>
    <row r="24" spans="1:11" ht="15.75" customHeight="1" outlineLevel="1" x14ac:dyDescent="0.3">
      <c r="A24" s="50"/>
      <c r="B24" s="36" t="s">
        <v>12</v>
      </c>
      <c r="C24" s="20">
        <f>VLOOKUP(C23,ESCALA_IEP!A2:B142,2,FALSE)</f>
        <v>5.5</v>
      </c>
    </row>
    <row r="25" spans="1:11" ht="15.75" customHeight="1" x14ac:dyDescent="0.25"/>
    <row r="26" spans="1:11" ht="15.75" customHeight="1" x14ac:dyDescent="0.25"/>
    <row r="27" spans="1:11" ht="15.75" customHeight="1" x14ac:dyDescent="0.25">
      <c r="A27" s="60" t="s">
        <v>13</v>
      </c>
      <c r="B27" s="49" t="s">
        <v>14</v>
      </c>
      <c r="C27" s="52" t="str">
        <f>$B$4</f>
        <v>ISMAEL ANTONIO ARAYA CELEDON</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VICENTE ALEJANDRO MONROY GUTIERREZ</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FELIPE MOISES URTUBIA LEON</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3"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Alvarez Montenegro</cp:lastModifiedBy>
  <cp:revision/>
  <dcterms:created xsi:type="dcterms:W3CDTF">2023-08-07T04:08:01Z</dcterms:created>
  <dcterms:modified xsi:type="dcterms:W3CDTF">2026-09-10T01:11:00Z</dcterms:modified>
  <cp:category/>
  <cp:contentStatus/>
</cp:coreProperties>
</file>